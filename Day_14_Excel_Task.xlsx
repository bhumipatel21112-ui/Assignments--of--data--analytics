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utoFilterDateGrouping="1"/>
  </bookViews>
  <sheets>
    <sheet xmlns:r="http://schemas.openxmlformats.org/officeDocument/2006/relationships" name="Day14" sheetId="1" state="visible" r:id="rId1"/>
  </sheets>
  <definedNames>
    <definedName name="Slicer_Is_Fail">#N/A</definedName>
    <definedName name="Slicer_Last_Name">#N/A</definedName>
    <definedName name="Slicer_Student_ID">#N/A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1"/>
      <u val="single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color rgb="FFFFFFFF"/>
      <sz val="12"/>
      <scheme val="minor"/>
    </font>
    <font>
      <name val="Calibri"/>
      <family val="2"/>
      <b val="1"/>
      <color theme="1"/>
      <sz val="24"/>
      <scheme val="minor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right" vertical="center" wrapText="1"/>
    </xf>
    <xf numFmtId="0" fontId="0" fillId="0" borderId="0" applyAlignment="1" pivotButton="0" quotePrefix="0" xfId="0">
      <alignment vertical="center" wrapText="1"/>
    </xf>
    <xf numFmtId="10" fontId="0" fillId="0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2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2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0" fontId="0" fillId="3" borderId="0" pivotButton="0" quotePrefix="0" xfId="0"/>
    <xf numFmtId="0" fontId="3" fillId="0" borderId="0" applyAlignment="1" pivotButton="0" quotePrefix="0" xfId="1">
      <alignment vertical="center" wrapText="1"/>
    </xf>
    <xf numFmtId="0" fontId="0" fillId="0" borderId="0" pivotButton="0" quotePrefix="0" xfId="0"/>
    <xf numFmtId="0" fontId="4" fillId="0" borderId="0" applyAlignment="1" pivotButton="0" quotePrefix="0" xfId="1">
      <alignment vertical="center" wrapText="1"/>
    </xf>
    <xf numFmtId="0" fontId="0" fillId="4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5" borderId="0" pivotButton="0" quotePrefix="0" xfId="0"/>
    <xf numFmtId="0" fontId="0" fillId="2" borderId="0" applyAlignment="1" pivotButton="0" quotePrefix="0" xfId="0">
      <alignment horizontal="center"/>
    </xf>
    <xf numFmtId="0" fontId="5" fillId="3" borderId="0" applyAlignment="1" pivotButton="0" quotePrefix="0" xfId="0">
      <alignment horizontal="left" vertical="center"/>
    </xf>
    <xf numFmtId="0" fontId="6" fillId="0" borderId="0" pivotButton="0" quotePrefix="0" xfId="0"/>
    <xf numFmtId="0" fontId="0" fillId="4" borderId="0" applyAlignment="1" pivotButton="0" quotePrefix="0" xfId="0">
      <alignment horizontal="center"/>
    </xf>
    <xf numFmtId="0" fontId="1" fillId="0" borderId="0" pivotButton="0" quotePrefix="0" xfId="0"/>
  </cellXfs>
  <cellStyles count="2">
    <cellStyle name="Normal" xfId="0" builtinId="0"/>
    <cellStyle name="Hyperlink" xfId="1" builtinId="8"/>
  </cellStyles>
  <dxfs count="139"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 tint="0.799981688894314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27" formatCode="dd/mm/yyyy\ hh:mm"/>
    </dxf>
    <dxf>
      <numFmt numFmtId="19" formatCode="dd/mm/yyyy"/>
    </dxf>
    <dxf>
      <numFmt numFmtId="0" formatCode="General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numFmt numFmtId="0" formatCode="General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font>
        <name val="Calibri"/>
        <family val="2"/>
        <b val="1"/>
        <strike val="0"/>
        <outline val="0"/>
        <shadow val="0"/>
        <condense val="0"/>
        <color theme="1"/>
        <extend val="0"/>
        <sz val="11"/>
        <u val="single"/>
        <vertAlign val="baseline"/>
        <scheme val="minor"/>
      </font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right" vertical="center" wrapText="1"/>
    </dxf>
    <dxf>
      <alignment horizontal="general" vertical="center" wrapText="1"/>
    </dxf>
    <dxf>
      <alignment horizontal="general" vertical="center" wrapText="1"/>
    </dxf>
    <dxf>
      <alignment horizontal="general" vertical="center" wrapText="1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pivotSource>
    <name>[15_Days_Task.xlsx]Day13!PivotTable2</name>
    <fmtId val="6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none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bar"/>
        <grouping val="stacked"/>
        <varyColors val="0"/>
        <ser>
          <idx val="0"/>
          <order val="0"/>
          <tx>
            <strRef>
              <f>'Day13'!$B$12</f>
              <strCache>
                <ptCount val="1"/>
                <pt idx="0">
                  <v>Sum of 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'Day14'!$A$41:$A$46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'Day14'!$B$41:$B$46</f>
              <numCache>
                <formatCode>General</formatCode>
                <ptCount val="5"/>
                <pt idx="0">
                  <v>322</v>
                </pt>
                <pt idx="1">
                  <v>416</v>
                </pt>
                <pt idx="2">
                  <v>358</v>
                </pt>
                <pt idx="3">
                  <v>441</v>
                </pt>
                <pt idx="4">
                  <v>450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100"/>
        <axId val="178146608"/>
        <axId val="51608528"/>
      </barChart>
      <lineChart>
        <grouping val="standard"/>
        <varyColors val="0"/>
        <ser>
          <idx val="1"/>
          <order val="1"/>
          <tx>
            <strRef>
              <f>'Day13'!$C$12</f>
              <strCache>
                <ptCount val="1"/>
                <pt idx="0">
                  <v>Sum of Percentage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'Day13'!$A$13:$A$18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'Day13'!$C$13:$C$18</f>
              <numCache>
                <formatCode>General</formatCode>
                <ptCount val="5"/>
                <pt idx="0">
                  <v>64.40000000000001</v>
                </pt>
                <pt idx="1">
                  <v>83.2</v>
                </pt>
                <pt idx="2">
                  <v>71.59999999999999</v>
                </pt>
                <pt idx="3">
                  <v>88.2</v>
                </pt>
                <pt idx="4">
                  <v>90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78126656"/>
        <axId val="51609008"/>
      </lineChart>
      <catAx>
        <axId val="178146608"/>
        <scaling>
          <orientation val="minMax"/>
        </scaling>
        <delete val="1"/>
        <axPos val="l"/>
        <numFmt formatCode="General" sourceLinked="1"/>
        <majorTickMark val="out"/>
        <minorTickMark val="none"/>
        <tickLblPos val="nextTo"/>
        <crossAx val="51608528"/>
        <crosses val="autoZero"/>
        <auto val="1"/>
        <lblAlgn val="ctr"/>
        <lblOffset val="100"/>
        <noMultiLvlLbl val="0"/>
      </catAx>
      <valAx>
        <axId val="51608528"/>
        <scaling>
          <orientation val="minMax"/>
        </scaling>
        <delete val="0"/>
        <axPos val="t"/>
        <numFmt formatCode="General" sourceLinked="1"/>
        <majorTickMark val="out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8146608"/>
        <crosses val="max"/>
        <crossBetween val="between"/>
      </valAx>
      <catAx>
        <axId val="17812665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609008"/>
        <crosses val="autoZero"/>
        <auto val="1"/>
        <lblAlgn val="ctr"/>
        <lblOffset val="100"/>
        <noMultiLvlLbl val="0"/>
      </catAx>
      <valAx>
        <axId val="516090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7812665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19050" cap="flat" cmpd="sng" algn="ctr">
      <a:solidFill>
        <a:schemeClr val="accent5"/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[15_Days_Task.xlsx]Day13!PivotTable4</name>
    <fmtId val="3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5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6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7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8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19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5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6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7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8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29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0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1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2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3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  <pivotFmt>
        <idx val="34"/>
        <spPr>
          <a:solidFill xmlns:a="http://schemas.openxmlformats.org/drawingml/2006/main">
            <a:schemeClr val="accent1"/>
          </a:solidFill>
          <a:ln xmlns:a="http://schemas.openxmlformats.org/drawingml/2006/main" w="19050">
            <a:solidFill>
              <a:schemeClr val="lt1"/>
            </a:solidFill>
            <a:prstDash val="solid"/>
          </a:ln>
        </spPr>
      </pivotFmt>
    </pivotFmts>
    <plotArea>
      <layout/>
      <doughnutChart>
        <varyColors val="1"/>
        <ser>
          <idx val="0"/>
          <order val="0"/>
          <tx>
            <strRef>
              <f>'Day13'!$J$6</f>
              <strCache>
                <ptCount val="1"/>
                <pt idx="0">
                  <v>Sum of Mathematics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'Day14'!$I$41:$I$43</f>
              <strCache>
                <ptCount val="2"/>
                <pt idx="0">
                  <v>Fail</v>
                </pt>
                <pt idx="1">
                  <v>Pass</v>
                </pt>
              </strCache>
            </strRef>
          </cat>
          <val>
            <numRef>
              <f>'Day14'!$J$41:$J$43</f>
              <numCache>
                <formatCode>General</formatCode>
                <ptCount val="2"/>
                <pt idx="0">
                  <v>88</v>
                </pt>
                <pt idx="1">
                  <v>329</v>
                </pt>
              </numCache>
            </numRef>
          </val>
        </ser>
        <ser>
          <idx val="1"/>
          <order val="1"/>
          <tx>
            <strRef>
              <f>'Day13'!$K$6</f>
              <strCache>
                <ptCount val="1"/>
                <pt idx="0">
                  <v>Sum of Science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'Day14'!$I$41:$I$43</f>
              <strCache>
                <ptCount val="2"/>
                <pt idx="0">
                  <v>Fail</v>
                </pt>
                <pt idx="1">
                  <v>Pass</v>
                </pt>
              </strCache>
            </strRef>
          </cat>
          <val>
            <numRef>
              <f>'Day14'!$K$41:$K$43</f>
              <numCache>
                <formatCode>General</formatCode>
                <ptCount val="2"/>
                <pt idx="0">
                  <v>93</v>
                </pt>
                <pt idx="1">
                  <v>264</v>
                </pt>
              </numCache>
            </numRef>
          </val>
        </ser>
        <ser>
          <idx val="2"/>
          <order val="2"/>
          <tx>
            <strRef>
              <f>'Day13'!$L$6</f>
              <strCache>
                <ptCount val="1"/>
                <pt idx="0">
                  <v>Sum of English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'Day14'!$I$41:$I$43</f>
              <strCache>
                <ptCount val="2"/>
                <pt idx="0">
                  <v>Fail</v>
                </pt>
                <pt idx="1">
                  <v>Pass</v>
                </pt>
              </strCache>
            </strRef>
          </cat>
          <val>
            <numRef>
              <f>'Day14'!$L$41:$L$43</f>
              <numCache>
                <formatCode>General</formatCode>
                <ptCount val="2"/>
                <pt idx="0">
                  <v>1</v>
                </pt>
                <pt idx="1">
                  <v>342</v>
                </pt>
              </numCache>
            </numRef>
          </val>
        </ser>
        <ser>
          <idx val="3"/>
          <order val="3"/>
          <tx>
            <strRef>
              <f>'Day13'!$M$6</f>
              <strCache>
                <ptCount val="1"/>
                <pt idx="0">
                  <v>Sum of Computer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'Day14'!$I$41:$I$43</f>
              <strCache>
                <ptCount val="2"/>
                <pt idx="0">
                  <v>Fail</v>
                </pt>
                <pt idx="1">
                  <v>Pass</v>
                </pt>
              </strCache>
            </strRef>
          </cat>
          <val>
            <numRef>
              <f>'Day14'!$M$41:$M$43</f>
              <numCache>
                <formatCode>General</formatCode>
                <ptCount val="2"/>
                <pt idx="0">
                  <v>89</v>
                </pt>
                <pt idx="1">
                  <v>363</v>
                </pt>
              </numCache>
            </numRef>
          </val>
        </ser>
        <ser>
          <idx val="4"/>
          <order val="4"/>
          <tx>
            <strRef>
              <f>'Day13'!$N$6</f>
              <strCache>
                <ptCount val="1"/>
                <pt idx="0">
                  <v>Sum of Social Science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dPt>
            <idx val="0"/>
            <bubble3D val="0"/>
            <spPr>
              <a:solidFill xmlns:a="http://schemas.openxmlformats.org/drawingml/2006/main">
                <a:schemeClr val="accent1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dPt>
            <idx val="1"/>
            <bubble3D val="0"/>
            <spPr>
              <a:solidFill xmlns:a="http://schemas.openxmlformats.org/drawingml/2006/main">
                <a:schemeClr val="accent2"/>
              </a:solidFill>
              <a:ln xmlns:a="http://schemas.openxmlformats.org/drawingml/2006/main" w="19050">
                <a:solidFill>
                  <a:schemeClr val="lt1"/>
                </a:solidFill>
                <a:prstDash val="solid"/>
              </a:ln>
            </spPr>
          </dPt>
          <cat>
            <strRef>
              <f>'Day14'!$I$41:$I$43</f>
              <strCache>
                <ptCount val="2"/>
                <pt idx="0">
                  <v>Fail</v>
                </pt>
                <pt idx="1">
                  <v>Pass</v>
                </pt>
              </strCache>
            </strRef>
          </cat>
          <val>
            <numRef>
              <f>'Day14'!$N$41:$N$43</f>
              <numCache>
                <formatCode>General</formatCode>
                <ptCount val="2"/>
                <pt idx="0">
                  <v>87</v>
                </pt>
                <pt idx="1">
                  <v>331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  <firstSliceAng val="0"/>
        <holeSize val="75"/>
      </doughnutChart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accent5"/>
      </a:solidFill>
      <a:prstDash val="solid"/>
      <a:round/>
    </a:ln>
  </spPr>
</chartSpace>
</file>

<file path=xl/charts/chart3.xml><?xml version="1.0" encoding="utf-8"?>
<chartSpace xmlns="http://schemas.openxmlformats.org/drawingml/2006/chart">
  <pivotSource>
    <name>[15_Days_Task.xlsx]Day13!PivotTable3</name>
    <fmtId val="9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3"/>
            </a:solidFill>
            <a:ln xmlns:a="http://schemas.openxmlformats.org/drawingml/2006/main" w="9525">
              <a:solidFill>
                <a:schemeClr val="accent3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4"/>
            </a:solidFill>
            <a:ln xmlns:a="http://schemas.openxmlformats.org/drawingml/2006/main" w="9525">
              <a:solidFill>
                <a:schemeClr val="accent4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5"/>
            </a:solidFill>
            <a:ln xmlns:a="http://schemas.openxmlformats.org/drawingml/2006/main" w="9525">
              <a:solidFill>
                <a:schemeClr val="accent5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5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6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7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3"/>
            </a:solidFill>
            <a:ln xmlns:a="http://schemas.openxmlformats.org/drawingml/2006/main" w="9525">
              <a:solidFill>
                <a:schemeClr val="accent3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8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4"/>
            </a:solidFill>
            <a:ln xmlns:a="http://schemas.openxmlformats.org/drawingml/2006/main" w="9525">
              <a:solidFill>
                <a:schemeClr val="accent4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9"/>
        <spPr>
          <a:solidFill xmlns:a="http://schemas.openxmlformats.org/drawingml/2006/main">
            <a:schemeClr val="accent1"/>
          </a:solidFill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5"/>
            </a:solidFill>
            <a:ln xmlns:a="http://schemas.openxmlformats.org/drawingml/2006/main" w="9525">
              <a:solidFill>
                <a:schemeClr val="accent5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0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1"/>
            </a:solidFill>
            <a:ln xmlns:a="http://schemas.openxmlformats.org/drawingml/2006/main" w="9525">
              <a:solidFill>
                <a:schemeClr val="accent1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1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2"/>
            </a:solidFill>
            <a:ln xmlns:a="http://schemas.openxmlformats.org/drawingml/2006/main" w="9525">
              <a:solidFill>
                <a:schemeClr val="accent2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2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3"/>
            </a:solidFill>
            <a:ln xmlns:a="http://schemas.openxmlformats.org/drawingml/2006/main" w="9525">
              <a:solidFill>
                <a:schemeClr val="accent3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3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4"/>
            </a:solidFill>
            <a:ln xmlns:a="http://schemas.openxmlformats.org/drawingml/2006/main" w="9525">
              <a:solidFill>
                <a:schemeClr val="accent4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  <pivotFmt>
        <idx val="14"/>
        <spPr>
          <a:ln xmlns:a="http://schemas.openxmlformats.org/drawingml/2006/main" w="28575" cap="rnd">
            <a:solidFill>
              <a:schemeClr val="accent1"/>
            </a:solidFill>
            <a:prstDash val="solid"/>
            <a:round/>
          </a:ln>
        </spPr>
        <marker>
          <symbol val="circle"/>
          <size val="5"/>
          <spPr>
            <a:solidFill xmlns:a="http://schemas.openxmlformats.org/drawingml/2006/main">
              <a:schemeClr val="accent5"/>
            </a:solidFill>
            <a:ln xmlns:a="http://schemas.openxmlformats.org/drawingml/2006/main" w="9525">
              <a:solidFill>
                <a:schemeClr val="accent5"/>
              </a:solidFill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lineChart>
        <grouping val="stacked"/>
        <varyColors val="0"/>
        <ser>
          <idx val="0"/>
          <order val="0"/>
          <tx>
            <strRef>
              <f>'Day13'!$B$22</f>
              <strCache>
                <ptCount val="1"/>
                <pt idx="0">
                  <v>Sum of Mathematics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'Day14'!$A$51:$A$56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'Day14'!$B$51:$B$56</f>
              <numCache>
                <formatCode>General</formatCode>
                <ptCount val="5"/>
                <pt idx="0">
                  <v>74</v>
                </pt>
                <pt idx="1">
                  <v>78</v>
                </pt>
                <pt idx="2">
                  <v>88</v>
                </pt>
                <pt idx="3">
                  <v>85</v>
                </pt>
                <pt idx="4">
                  <v>92</v>
                </pt>
              </numCache>
            </numRef>
          </val>
          <smooth val="0"/>
        </ser>
        <ser>
          <idx val="1"/>
          <order val="1"/>
          <tx>
            <strRef>
              <f>'Day13'!$C$22</f>
              <strCache>
                <ptCount val="1"/>
                <pt idx="0">
                  <v>Sum of Science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'Day14'!$A$51:$A$56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'Day14'!$C$51:$C$56</f>
              <numCache>
                <formatCode>General</formatCode>
                <ptCount val="5"/>
                <pt idx="1">
                  <v>84</v>
                </pt>
                <pt idx="2">
                  <v>93</v>
                </pt>
                <pt idx="3">
                  <v>91</v>
                </pt>
                <pt idx="4">
                  <v>89</v>
                </pt>
              </numCache>
            </numRef>
          </val>
          <smooth val="0"/>
        </ser>
        <ser>
          <idx val="2"/>
          <order val="2"/>
          <tx>
            <strRef>
              <f>'Day13'!$D$22</f>
              <strCache>
                <ptCount val="1"/>
                <pt idx="0">
                  <v>Sum of English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'Day14'!$A$51:$A$56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'Day14'!$D$51:$D$56</f>
              <numCache>
                <formatCode>General</formatCode>
                <ptCount val="5"/>
                <pt idx="0">
                  <v>79</v>
                </pt>
                <pt idx="1">
                  <v>90</v>
                </pt>
                <pt idx="2">
                  <v>1</v>
                </pt>
                <pt idx="3">
                  <v>88</v>
                </pt>
                <pt idx="4">
                  <v>85</v>
                </pt>
              </numCache>
            </numRef>
          </val>
          <smooth val="0"/>
        </ser>
        <ser>
          <idx val="3"/>
          <order val="3"/>
          <tx>
            <strRef>
              <f>'Day13'!$E$22</f>
              <strCache>
                <ptCount val="1"/>
                <pt idx="0">
                  <v>Sum of Computer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cat>
            <strRef>
              <f>'Day14'!$A$51:$A$56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'Day14'!$E$51:$E$56</f>
              <numCache>
                <formatCode>General</formatCode>
                <ptCount val="5"/>
                <pt idx="0">
                  <v>86</v>
                </pt>
                <pt idx="1">
                  <v>88</v>
                </pt>
                <pt idx="2">
                  <v>89</v>
                </pt>
                <pt idx="3">
                  <v>95</v>
                </pt>
                <pt idx="4">
                  <v>94</v>
                </pt>
              </numCache>
            </numRef>
          </val>
          <smooth val="0"/>
        </ser>
        <ser>
          <idx val="4"/>
          <order val="4"/>
          <tx>
            <strRef>
              <f>'Day13'!$F$22</f>
              <strCache>
                <ptCount val="1"/>
                <pt idx="0">
                  <v>Sum of Social Science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cat>
            <strRef>
              <f>'Day14'!$A$51:$A$56</f>
              <strCache>
                <ptCount val="5"/>
                <pt idx="0">
                  <v>Alok</v>
                </pt>
                <pt idx="1">
                  <v>Anu</v>
                </pt>
                <pt idx="2">
                  <v>Riya</v>
                </pt>
                <pt idx="3">
                  <v>Sanskriti</v>
                </pt>
                <pt idx="4">
                  <v>Shubh</v>
                </pt>
              </strCache>
            </strRef>
          </cat>
          <val>
            <numRef>
              <f>'Day14'!$F$51:$F$56</f>
              <numCache>
                <formatCode>General</formatCode>
                <ptCount val="5"/>
                <pt idx="0">
                  <v>83</v>
                </pt>
                <pt idx="1">
                  <v>76</v>
                </pt>
                <pt idx="2">
                  <v>87</v>
                </pt>
                <pt idx="3">
                  <v>82</v>
                </pt>
                <pt idx="4">
                  <v>90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59945216"/>
        <axId val="51628208"/>
      </lineChart>
      <catAx>
        <axId val="159945216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1628208"/>
        <crosses val="autoZero"/>
        <auto val="1"/>
        <lblAlgn val="ctr"/>
        <lblOffset val="100"/>
        <noMultiLvlLbl val="0"/>
      </catAx>
      <valAx>
        <axId val="51628208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159945216"/>
        <crosses val="autoZero"/>
        <crossBetween val="between"/>
      </valAx>
    </plotArea>
    <legend>
      <legendPos val="r"/>
      <layout>
        <manualLayout>
          <xMode val="edge"/>
          <yMode val="edge"/>
          <wMode val="factor"/>
          <hMode val="factor"/>
          <x val="0.6216139300878356"/>
          <y val="0.09477244765673791"/>
          <w val="0.3483507370087331"/>
          <h val="0.8104551046865242"/>
        </manualLayout>
      </layout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zero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accent5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twoCellAnchor>
    <from>
      <col>2</col>
      <colOff>380999</colOff>
      <row>19</row>
      <rowOff>83346</rowOff>
    </from>
    <to>
      <col>6</col>
      <colOff>381000</colOff>
      <row>29</row>
      <rowOff>95252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7</col>
      <colOff>392907</colOff>
      <row>19</row>
      <rowOff>71437</rowOff>
    </from>
    <to>
      <col>11</col>
      <colOff>309563</colOff>
      <row>29</row>
      <rowOff>95250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>
    <from>
      <col>12</col>
      <colOff>309563</colOff>
      <row>19</row>
      <rowOff>154781</rowOff>
    </from>
    <to>
      <col>16</col>
      <colOff>309563</colOff>
      <row>29</row>
      <rowOff>160833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7"/>
  <sheetViews>
    <sheetView zoomScale="64" workbookViewId="0">
      <selection activeCell="A2" sqref="A2:Y2"/>
    </sheetView>
  </sheetViews>
  <sheetFormatPr baseColWidth="8" defaultRowHeight="14.4"/>
  <sheetData>
    <row r="1">
      <c r="A1" s="23" t="inlineStr">
        <is>
          <t>Day 14</t>
        </is>
      </c>
    </row>
    <row r="2">
      <c r="A2" s="11" t="inlineStr">
        <is>
          <t>Dashboard</t>
        </is>
      </c>
    </row>
    <row r="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2" t="n"/>
      <c r="R4" s="22" t="n"/>
      <c r="S4" s="22" t="n"/>
      <c r="T4" s="22" t="n"/>
      <c r="U4" s="22" t="n"/>
      <c r="V4" s="22" t="n"/>
      <c r="W4" s="22" t="n"/>
      <c r="X4" s="22" t="n"/>
      <c r="Y4" s="22" t="n"/>
    </row>
    <row r="5">
      <c r="A5" s="22" t="n"/>
      <c r="B5" s="22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  <c r="W5" s="22" t="n"/>
      <c r="X5" s="22" t="n"/>
      <c r="Y5" s="22" t="n"/>
    </row>
    <row r="6">
      <c r="A6" s="22" t="n"/>
      <c r="B6" s="2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  <c r="W6" s="22" t="n"/>
      <c r="X6" s="22" t="n"/>
      <c r="Y6" s="22" t="n"/>
    </row>
    <row r="7">
      <c r="A7" s="22" t="n"/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</row>
    <row r="8">
      <c r="A8" s="22" t="n"/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</row>
    <row r="9">
      <c r="A9" s="22" t="n"/>
      <c r="B9" s="22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  <c r="W9" s="22" t="n"/>
      <c r="X9" s="22" t="n"/>
      <c r="Y9" s="22" t="n"/>
    </row>
    <row r="10">
      <c r="A10" s="22" t="n"/>
      <c r="B10" s="22" t="n"/>
      <c r="C10" s="15" t="n"/>
      <c r="D10" s="15" t="n"/>
      <c r="E10" s="15" t="n"/>
      <c r="F10" s="15" t="n"/>
      <c r="G10" s="15" t="n"/>
      <c r="H10" s="15" t="n"/>
      <c r="I10" s="15" t="n"/>
      <c r="J10" s="15" t="n"/>
      <c r="K10" s="15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22" t="n"/>
      <c r="Y10" s="22" t="n"/>
    </row>
    <row r="11">
      <c r="A11" s="22" t="n"/>
      <c r="B11" s="22" t="n"/>
      <c r="C11" s="15" t="n"/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22" t="n"/>
      <c r="Y11" s="22" t="n"/>
    </row>
    <row r="12">
      <c r="A12" s="22" t="n"/>
      <c r="B12" s="22" t="n"/>
      <c r="C12" s="15" t="n"/>
      <c r="D12" s="15" t="n"/>
      <c r="E12" s="15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22" t="n"/>
      <c r="Y12" s="22" t="n"/>
    </row>
    <row r="13">
      <c r="A13" s="22" t="n"/>
      <c r="B13" s="22" t="n"/>
      <c r="C13" s="15" t="n"/>
      <c r="D13" s="15" t="n"/>
      <c r="E13" s="15" t="n"/>
      <c r="F13" s="15" t="n"/>
      <c r="G13" s="15" t="n"/>
      <c r="H13" s="15" t="n"/>
      <c r="I13" s="15" t="n"/>
      <c r="J13" s="15" t="n"/>
      <c r="K13" s="15" t="n"/>
      <c r="L13" s="15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22" t="n"/>
      <c r="Y13" s="22" t="n"/>
    </row>
    <row r="14">
      <c r="A14" s="22" t="n"/>
      <c r="B14" s="22" t="n"/>
      <c r="C14" s="15" t="n"/>
      <c r="D14" s="15" t="n"/>
      <c r="E14" s="15" t="n"/>
      <c r="F14" s="15" t="n"/>
      <c r="G14" s="15" t="n"/>
      <c r="H14" s="15" t="n"/>
      <c r="I14" s="15" t="n"/>
      <c r="J14" s="15" t="n"/>
      <c r="K14" s="15" t="n"/>
      <c r="L14" s="15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22" t="n"/>
      <c r="Y14" s="22" t="n"/>
    </row>
    <row r="15">
      <c r="A15" s="22" t="n"/>
      <c r="B15" s="22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22" t="n"/>
      <c r="Y15" s="22" t="n"/>
    </row>
    <row r="16">
      <c r="A16" s="22" t="n"/>
      <c r="B16" s="22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22" t="n"/>
      <c r="Y16" s="22" t="n"/>
    </row>
    <row r="17">
      <c r="A17" s="22" t="n"/>
      <c r="B17" s="22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5" t="n"/>
      <c r="O17" s="15" t="n"/>
      <c r="P17" s="15" t="n"/>
      <c r="Q17" s="15" t="n"/>
      <c r="R17" s="15" t="n"/>
      <c r="S17" s="15" t="n"/>
      <c r="T17" s="15" t="n"/>
      <c r="U17" s="15" t="n"/>
      <c r="V17" s="15" t="n"/>
      <c r="W17" s="15" t="n"/>
      <c r="X17" s="22" t="n"/>
      <c r="Y17" s="22" t="n"/>
    </row>
    <row r="18">
      <c r="A18" s="22" t="n"/>
      <c r="B18" s="22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15" t="n"/>
      <c r="Q18" s="15" t="n"/>
      <c r="R18" s="15" t="n"/>
      <c r="S18" s="15" t="n"/>
      <c r="T18" s="15" t="n"/>
      <c r="U18" s="15" t="n"/>
      <c r="V18" s="15" t="n"/>
      <c r="W18" s="15" t="n"/>
      <c r="X18" s="22" t="n"/>
      <c r="Y18" s="22" t="n"/>
    </row>
    <row r="19">
      <c r="A19" s="22" t="n"/>
      <c r="B19" s="22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22" t="n"/>
      <c r="Y19" s="22" t="n"/>
    </row>
    <row r="20">
      <c r="A20" s="22" t="n"/>
      <c r="B20" s="22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5" t="n"/>
      <c r="Q20" s="15" t="n"/>
      <c r="R20" s="15" t="n"/>
      <c r="S20" s="15" t="n"/>
      <c r="T20" s="15" t="n"/>
      <c r="U20" s="15" t="n"/>
      <c r="V20" s="15" t="n"/>
      <c r="W20" s="15" t="n"/>
      <c r="X20" s="22" t="n"/>
      <c r="Y20" s="22" t="n"/>
    </row>
    <row r="21">
      <c r="A21" s="22" t="n"/>
      <c r="B21" s="22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22" t="n"/>
      <c r="Y21" s="22" t="n"/>
    </row>
    <row r="22">
      <c r="A22" s="22" t="n"/>
      <c r="B22" s="22" t="n"/>
      <c r="C22" s="15" t="n"/>
      <c r="D22" s="15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5" t="n"/>
      <c r="Q22" s="15" t="n"/>
      <c r="R22" s="15" t="n"/>
      <c r="S22" s="15" t="n"/>
      <c r="T22" s="15" t="n"/>
      <c r="U22" s="15" t="n"/>
      <c r="V22" s="15" t="n"/>
      <c r="W22" s="15" t="n"/>
      <c r="X22" s="22" t="n"/>
      <c r="Y22" s="22" t="n"/>
    </row>
    <row r="23">
      <c r="A23" s="22" t="n"/>
      <c r="B23" s="22" t="n"/>
      <c r="C23" s="15" t="n"/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22" t="n"/>
      <c r="Y23" s="22" t="n"/>
    </row>
    <row r="24">
      <c r="A24" s="22" t="n"/>
      <c r="B24" s="22" t="n"/>
      <c r="C24" s="15" t="n"/>
      <c r="D24" s="15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5" t="n"/>
      <c r="Q24" s="15" t="n"/>
      <c r="R24" s="15" t="n"/>
      <c r="S24" s="15" t="n"/>
      <c r="T24" s="15" t="n"/>
      <c r="U24" s="15" t="n"/>
      <c r="V24" s="15" t="n"/>
      <c r="W24" s="15" t="n"/>
      <c r="X24" s="22" t="n"/>
      <c r="Y24" s="22" t="n"/>
    </row>
    <row r="25" ht="15.6" customHeight="1" s="17">
      <c r="A25" s="22" t="n"/>
      <c r="B25" s="22" t="n"/>
      <c r="C25" s="15" t="n"/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24" t="n"/>
      <c r="X25" s="22" t="n"/>
      <c r="Y25" s="22" t="n"/>
    </row>
    <row r="26">
      <c r="A26" s="22" t="n"/>
      <c r="B26" s="22" t="n"/>
      <c r="C26" s="15" t="n"/>
      <c r="D26" s="15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5" t="n"/>
      <c r="Q26" s="15" t="n"/>
      <c r="R26" s="15" t="n"/>
      <c r="S26" s="15" t="n"/>
      <c r="T26" s="15" t="n"/>
      <c r="U26" s="15" t="n"/>
      <c r="V26" s="15" t="n"/>
      <c r="W26" s="15" t="n"/>
      <c r="X26" s="22" t="n"/>
      <c r="Y26" s="22" t="n"/>
    </row>
    <row r="27">
      <c r="A27" s="22" t="n"/>
      <c r="B27" s="22" t="n"/>
      <c r="C27" s="15" t="n"/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22" t="n"/>
      <c r="Y27" s="22" t="n"/>
    </row>
    <row r="28">
      <c r="A28" s="22" t="n"/>
      <c r="B28" s="22" t="n"/>
      <c r="C28" s="15" t="n"/>
      <c r="D28" s="15" t="n"/>
      <c r="E28" s="15" t="n"/>
      <c r="F28" s="15" t="n"/>
      <c r="G28" s="15" t="n"/>
      <c r="H28" s="15" t="n"/>
      <c r="I28" s="15" t="n"/>
      <c r="J28" s="15" t="n"/>
      <c r="K28" s="15" t="n"/>
      <c r="L28" s="15" t="n"/>
      <c r="M28" s="15" t="n"/>
      <c r="N28" s="15" t="n"/>
      <c r="O28" s="15" t="n"/>
      <c r="P28" s="15" t="n"/>
      <c r="Q28" s="15" t="n"/>
      <c r="R28" s="15" t="n"/>
      <c r="S28" s="15" t="n"/>
      <c r="T28" s="15" t="n"/>
      <c r="U28" s="15" t="n"/>
      <c r="V28" s="15" t="n"/>
      <c r="W28" s="15" t="n"/>
      <c r="X28" s="22" t="n"/>
      <c r="Y28" s="22" t="n"/>
    </row>
    <row r="29">
      <c r="A29" s="22" t="n"/>
      <c r="B29" s="22" t="n"/>
      <c r="C29" s="15" t="n"/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22" t="n"/>
      <c r="Y29" s="22" t="n"/>
    </row>
    <row r="30">
      <c r="A30" s="22" t="n"/>
      <c r="B30" s="22" t="n"/>
      <c r="C30" s="15" t="n"/>
      <c r="D30" s="15" t="n"/>
      <c r="E30" s="15" t="n"/>
      <c r="F30" s="15" t="n"/>
      <c r="G30" s="15" t="n"/>
      <c r="H30" s="15" t="n"/>
      <c r="I30" s="15" t="n"/>
      <c r="J30" s="15" t="n"/>
      <c r="K30" s="15" t="n"/>
      <c r="L30" s="15" t="n"/>
      <c r="M30" s="15" t="n"/>
      <c r="N30" s="15" t="n"/>
      <c r="O30" s="15" t="n"/>
      <c r="P30" s="15" t="n"/>
      <c r="Q30" s="15" t="n"/>
      <c r="R30" s="15" t="n"/>
      <c r="S30" s="15" t="n"/>
      <c r="T30" s="15" t="n"/>
      <c r="U30" s="15" t="n"/>
      <c r="V30" s="15" t="n"/>
      <c r="W30" s="15" t="n"/>
      <c r="X30" s="22" t="n"/>
      <c r="Y30" s="22" t="n"/>
    </row>
    <row r="31">
      <c r="A31" s="22" t="n"/>
      <c r="B31" s="22" t="n"/>
      <c r="C31" s="15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22" t="n"/>
      <c r="Y31" s="22" t="n"/>
    </row>
    <row r="32">
      <c r="A32" s="22" t="n"/>
      <c r="B32" s="22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5" t="n"/>
      <c r="O32" s="15" t="n"/>
      <c r="P32" s="15" t="n"/>
      <c r="Q32" s="15" t="n"/>
      <c r="R32" s="15" t="n"/>
      <c r="S32" s="15" t="n"/>
      <c r="T32" s="15" t="n"/>
      <c r="U32" s="15" t="n"/>
      <c r="V32" s="15" t="n"/>
      <c r="W32" s="15" t="n"/>
      <c r="X32" s="22" t="n"/>
      <c r="Y32" s="22" t="n"/>
    </row>
    <row r="33">
      <c r="A33" s="22" t="n"/>
      <c r="B33" s="22" t="n"/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  <c r="W33" s="22" t="n"/>
      <c r="X33" s="22" t="n"/>
      <c r="Y33" s="22" t="n"/>
    </row>
    <row r="34">
      <c r="A34" s="22" t="n"/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2" t="n"/>
    </row>
    <row r="35">
      <c r="A35" s="22" t="n"/>
      <c r="B35" s="22" t="n"/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  <c r="W35" s="22" t="n"/>
      <c r="X35" s="22" t="n"/>
      <c r="Y35" s="22" t="n"/>
    </row>
    <row r="36">
      <c r="A36" s="22" t="n"/>
      <c r="B36" s="22" t="n"/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  <c r="W36" s="22" t="n"/>
      <c r="X36" s="22" t="n"/>
      <c r="Y36" s="22" t="n"/>
    </row>
    <row r="37">
      <c r="A37" s="22" t="n"/>
      <c r="B37" s="22" t="n"/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  <c r="W37" s="22" t="n"/>
      <c r="X37" s="22" t="n"/>
      <c r="Y37" s="22" t="n"/>
    </row>
    <row r="39">
      <c r="A39" s="27" t="inlineStr">
        <is>
          <t>Dashboard source data</t>
        </is>
      </c>
    </row>
    <row r="40">
      <c r="A40" t="inlineStr">
        <is>
          <t>Name</t>
        </is>
      </c>
      <c r="B40" t="inlineStr">
        <is>
          <t>Sum of Total</t>
        </is>
      </c>
      <c r="I40" t="inlineStr">
        <is>
          <t>IS_Fail</t>
        </is>
      </c>
      <c r="J40" t="inlineStr">
        <is>
          <t>Sum of Mathematics</t>
        </is>
      </c>
      <c r="K40" t="inlineStr">
        <is>
          <t>Sum of Science</t>
        </is>
      </c>
      <c r="L40" t="inlineStr">
        <is>
          <t>Sum of English</t>
        </is>
      </c>
      <c r="M40" t="inlineStr">
        <is>
          <t>Sum of Computer</t>
        </is>
      </c>
      <c r="N40" t="inlineStr">
        <is>
          <t>Sum of Social Science</t>
        </is>
      </c>
    </row>
    <row r="41">
      <c r="A41" t="inlineStr">
        <is>
          <t>Rehan</t>
        </is>
      </c>
      <c r="B41" t="n">
        <v>374</v>
      </c>
      <c r="I41" t="inlineStr">
        <is>
          <t>Fail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</row>
    <row r="42">
      <c r="A42" t="inlineStr">
        <is>
          <t>Ishani</t>
        </is>
      </c>
      <c r="B42" t="n">
        <v>359</v>
      </c>
      <c r="I42" t="inlineStr">
        <is>
          <t>Pass</t>
        </is>
      </c>
      <c r="J42" t="n">
        <v>362</v>
      </c>
      <c r="K42" t="n">
        <v>378</v>
      </c>
      <c r="L42" t="n">
        <v>407</v>
      </c>
      <c r="M42" t="n">
        <v>380</v>
      </c>
      <c r="N42" t="n">
        <v>387</v>
      </c>
    </row>
    <row r="43">
      <c r="A43" t="inlineStr">
        <is>
          <t>Manan</t>
        </is>
      </c>
      <c r="B43" t="n">
        <v>405</v>
      </c>
      <c r="I43" t="inlineStr">
        <is>
          <t>Grand Total</t>
        </is>
      </c>
      <c r="J43" t="n">
        <v>362</v>
      </c>
      <c r="K43" t="n">
        <v>378</v>
      </c>
      <c r="L43" t="n">
        <v>407</v>
      </c>
      <c r="M43" t="n">
        <v>380</v>
      </c>
      <c r="N43" t="n">
        <v>387</v>
      </c>
    </row>
    <row r="44">
      <c r="A44" t="inlineStr">
        <is>
          <t>Ayesha</t>
        </is>
      </c>
      <c r="B44" t="n">
        <v>400</v>
      </c>
    </row>
    <row r="45">
      <c r="A45" t="inlineStr">
        <is>
          <t>Arnav</t>
        </is>
      </c>
      <c r="B45" t="n">
        <v>376</v>
      </c>
    </row>
    <row r="46">
      <c r="A46" t="inlineStr">
        <is>
          <t>Grand Total</t>
        </is>
      </c>
      <c r="B46" t="n">
        <v>1914</v>
      </c>
    </row>
    <row r="47"/>
    <row r="48"/>
    <row r="49"/>
    <row r="50"/>
    <row r="51">
      <c r="A51" t="inlineStr">
        <is>
          <t>Name</t>
        </is>
      </c>
      <c r="B51" t="inlineStr">
        <is>
          <t>Sum of Mathematics</t>
        </is>
      </c>
      <c r="C51" t="inlineStr">
        <is>
          <t>Sum of Science</t>
        </is>
      </c>
      <c r="D51" t="inlineStr">
        <is>
          <t>Sum of English</t>
        </is>
      </c>
      <c r="E51" t="inlineStr">
        <is>
          <t>Sum of Computer</t>
        </is>
      </c>
      <c r="F51" t="inlineStr">
        <is>
          <t>Sum of Social Science</t>
        </is>
      </c>
    </row>
    <row r="52">
      <c r="A52" t="inlineStr">
        <is>
          <t>Rehan</t>
        </is>
      </c>
      <c r="B52" t="n">
        <v>59</v>
      </c>
      <c r="C52" t="n">
        <v>75</v>
      </c>
      <c r="D52" t="n">
        <v>59</v>
      </c>
      <c r="E52" t="n">
        <v>88</v>
      </c>
      <c r="F52" t="n">
        <v>93</v>
      </c>
    </row>
    <row r="53">
      <c r="A53" t="inlineStr">
        <is>
          <t>Ishani</t>
        </is>
      </c>
      <c r="B53" t="n">
        <v>80</v>
      </c>
      <c r="C53" t="n">
        <v>73</v>
      </c>
      <c r="D53" t="n">
        <v>85</v>
      </c>
      <c r="E53" t="n">
        <v>59</v>
      </c>
      <c r="F53" t="n">
        <v>62</v>
      </c>
    </row>
    <row r="54">
      <c r="A54" t="inlineStr">
        <is>
          <t>Manan</t>
        </is>
      </c>
      <c r="B54" t="n">
        <v>77</v>
      </c>
      <c r="C54" t="n">
        <v>66</v>
      </c>
      <c r="D54" t="n">
        <v>96</v>
      </c>
      <c r="E54" t="n">
        <v>77</v>
      </c>
      <c r="F54" t="n">
        <v>89</v>
      </c>
    </row>
    <row r="55">
      <c r="A55" t="inlineStr">
        <is>
          <t>Ayesha</t>
        </is>
      </c>
      <c r="B55" t="n">
        <v>76</v>
      </c>
      <c r="C55" t="n">
        <v>77</v>
      </c>
      <c r="D55" t="n">
        <v>85</v>
      </c>
      <c r="E55" t="n">
        <v>79</v>
      </c>
      <c r="F55" t="n">
        <v>83</v>
      </c>
    </row>
    <row r="56">
      <c r="A56" t="inlineStr">
        <is>
          <t>Arnav</t>
        </is>
      </c>
      <c r="B56" t="n">
        <v>70</v>
      </c>
      <c r="C56" t="n">
        <v>87</v>
      </c>
      <c r="D56" t="n">
        <v>82</v>
      </c>
      <c r="E56" t="n">
        <v>77</v>
      </c>
      <c r="F56" t="n">
        <v>60</v>
      </c>
    </row>
    <row r="57">
      <c r="A57" t="inlineStr">
        <is>
          <t>Grand Total</t>
        </is>
      </c>
      <c r="B57" t="n">
        <v>362</v>
      </c>
      <c r="C57" t="n">
        <v>378</v>
      </c>
      <c r="D57" t="n">
        <v>407</v>
      </c>
      <c r="E57" t="n">
        <v>380</v>
      </c>
      <c r="F57" t="n">
        <v>387</v>
      </c>
    </row>
  </sheetData>
  <mergeCells count="2">
    <mergeCell ref="A2:Y2"/>
    <mergeCell ref="A1:Y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Agrim Saxena</dc:creator>
  <dcterms:created xmlns:dcterms="http://purl.org/dc/terms/" xmlns:xsi="http://www.w3.org/2001/XMLSchema-instance" xsi:type="dcterms:W3CDTF">2026-09-21T12:46:15Z</dcterms:created>
  <dcterms:modified xmlns:dcterms="http://purl.org/dc/terms/" xmlns:xsi="http://www.w3.org/2001/XMLSchema-instance" xsi:type="dcterms:W3CDTF">2026-09-21T15:39:10Z</dcterms:modified>
  <cp:lastModifiedBy>Agrim Saxena</cp:lastModifiedBy>
</cp:coreProperties>
</file>